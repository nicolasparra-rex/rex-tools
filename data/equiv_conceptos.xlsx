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8C6136B1-0F8C-4A90-850D-404CDD831789}" xr6:coauthVersionLast="47" xr6:coauthVersionMax="47" xr10:uidLastSave="{00000000-0000-0000-0000-000000000000}"/>
  <bookViews>
    <workbookView xWindow="-120" yWindow="-120" windowWidth="20730" windowHeight="11040" xr2:uid="{21D7F38F-0E66-43EB-8F64-95EA0637AE65}"/>
  </bookViews>
  <sheets>
    <sheet name="Hoja1" sheetId="1" r:id="rId1"/>
    <sheet name="Hoja2" sheetId="2" r:id="rId2"/>
  </sheets>
  <definedNames>
    <definedName name="_xlnm._FilterDatabase" localSheetId="0" hidden="1">Hoja1!$A$1:$G$94</definedName>
    <definedName name="_xlnm._FilterDatabase" localSheetId="1" hidden="1">Hoja2!$B$14:$C$79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2" l="1"/>
  <c r="C18" i="2"/>
  <c r="C19" i="2"/>
  <c r="C20" i="2"/>
  <c r="C21" i="2"/>
  <c r="C24" i="2"/>
  <c r="C25" i="2"/>
  <c r="C31" i="2"/>
  <c r="C34" i="2"/>
  <c r="C35" i="2"/>
  <c r="C37" i="2"/>
  <c r="C38" i="2"/>
  <c r="C41" i="2"/>
  <c r="C42" i="2"/>
  <c r="C44" i="2"/>
  <c r="C45" i="2"/>
  <c r="C46" i="2"/>
  <c r="C47" i="2"/>
  <c r="C52" i="2"/>
  <c r="C53" i="2"/>
  <c r="C54" i="2"/>
  <c r="C55" i="2"/>
  <c r="C57" i="2"/>
  <c r="C58" i="2"/>
  <c r="C59" i="2"/>
  <c r="C63" i="2"/>
  <c r="C64" i="2"/>
  <c r="C65" i="2"/>
  <c r="C69" i="2"/>
  <c r="C70" i="2"/>
  <c r="C71" i="2"/>
  <c r="C74" i="2"/>
  <c r="C76" i="2"/>
  <c r="C77" i="2"/>
  <c r="C78" i="2"/>
  <c r="C16" i="2"/>
</calcChain>
</file>

<file path=xl/sharedStrings.xml><?xml version="1.0" encoding="utf-8"?>
<sst xmlns="http://schemas.openxmlformats.org/spreadsheetml/2006/main" count="423" uniqueCount="226">
  <si>
    <t>Sueldo(2101)</t>
  </si>
  <si>
    <t>sueldoBase</t>
  </si>
  <si>
    <t>Sobresueldo(2102)</t>
  </si>
  <si>
    <t>sobresueldoMi</t>
  </si>
  <si>
    <t>Comisiones(2103)</t>
  </si>
  <si>
    <t>comisionMi</t>
  </si>
  <si>
    <t>Semana corrida(2104)</t>
  </si>
  <si>
    <t>semanaCorr</t>
  </si>
  <si>
    <t>Participación(2105)</t>
  </si>
  <si>
    <t>participacionMi</t>
  </si>
  <si>
    <t>Gratificación(2106)</t>
  </si>
  <si>
    <t>gratificacion</t>
  </si>
  <si>
    <t>Recargo 30% día domingo(2107)</t>
  </si>
  <si>
    <t>recargoMi</t>
  </si>
  <si>
    <t>Remun. variable pagada en vacaciones(2108)</t>
  </si>
  <si>
    <t>remvarMi</t>
  </si>
  <si>
    <t>Remun. variable pagada en clausura(2109)</t>
  </si>
  <si>
    <t>otremMi</t>
  </si>
  <si>
    <t>Bonos u otras remun. fijas mensuales(2111)</t>
  </si>
  <si>
    <t>BonoMi</t>
  </si>
  <si>
    <t>Tratos(2112)</t>
  </si>
  <si>
    <t>tratoMi</t>
  </si>
  <si>
    <t>Bonos u otras remun. variables mensuales o superiores a un mes(2113)</t>
  </si>
  <si>
    <t>bonsupMi</t>
  </si>
  <si>
    <t>Ejercicio opción no pactada en contrato(2114)</t>
  </si>
  <si>
    <t>otrosHaberes</t>
  </si>
  <si>
    <t>Beneficios en especie constitutivos de remun(2115)</t>
  </si>
  <si>
    <t>benefMi</t>
  </si>
  <si>
    <t>Remuneraciones bimestrales(2116)</t>
  </si>
  <si>
    <t>Remuneraciones trimestrales(2117)</t>
  </si>
  <si>
    <t>Remuneraciones cuatrimestral(2118)</t>
  </si>
  <si>
    <t>Remuneraciones semestrales(2119)</t>
  </si>
  <si>
    <t>Remuneraciones anuales(2120)</t>
  </si>
  <si>
    <t>Participación anual(2121)</t>
  </si>
  <si>
    <t>Gratificación anual(2122)</t>
  </si>
  <si>
    <t>Otras remuneraciones superiores a un mes(2123)</t>
  </si>
  <si>
    <t>Pago por horas de trabajo sindical(2124)</t>
  </si>
  <si>
    <t>pagosindMi</t>
  </si>
  <si>
    <t>Sueldo empresarial (2161)</t>
  </si>
  <si>
    <t>Subsidio por incapacidad laboral por licencia médica(2201)</t>
  </si>
  <si>
    <t>Beca de estudio(2202)</t>
  </si>
  <si>
    <t>Gratificaciones de zona(2203)</t>
  </si>
  <si>
    <t>Alojamiento por razones de trabajo(2310)</t>
  </si>
  <si>
    <t>alojamientoTrabajoMi</t>
  </si>
  <si>
    <t>Asignación de desgaste herramienta(2305)</t>
  </si>
  <si>
    <t>AsigDesgHerrMi</t>
  </si>
  <si>
    <t>Asignación de pérdida de caja(2304)</t>
  </si>
  <si>
    <t>asigPerdCajaMi</t>
  </si>
  <si>
    <t>Asignación de traslación(2312)</t>
  </si>
  <si>
    <t>TraslacionMi</t>
  </si>
  <si>
    <t>Asignación familiar legal(2311)</t>
  </si>
  <si>
    <t>cargasSimp</t>
  </si>
  <si>
    <t>Asignación trabajo a distancia o teletrabajo(2309)</t>
  </si>
  <si>
    <t>Colación(2301)</t>
  </si>
  <si>
    <t>colacion</t>
  </si>
  <si>
    <t>Depósito convenido hasta UF 900(2347)</t>
  </si>
  <si>
    <t>otingrMi</t>
  </si>
  <si>
    <t>Gastos por cambio de residencia(2307)</t>
  </si>
  <si>
    <t>gastoMi</t>
  </si>
  <si>
    <t>Gastos por causa del trabajo(2306)</t>
  </si>
  <si>
    <t>Indemnización años de servicio(2314)</t>
  </si>
  <si>
    <t>iasLegal</t>
  </si>
  <si>
    <t>Indemnización fuero maternal(2316)</t>
  </si>
  <si>
    <t>indemMMi</t>
  </si>
  <si>
    <t>Indemnización por feriado legal(2313)</t>
  </si>
  <si>
    <t>iasVacaciones</t>
  </si>
  <si>
    <t>Indemnización sustitutiva del aviso previo(2315)</t>
  </si>
  <si>
    <t>iasMes</t>
  </si>
  <si>
    <t>Indemnizaciones contractuales tributables(2418)</t>
  </si>
  <si>
    <t>iasafecta</t>
  </si>
  <si>
    <t>Indemnizaciones voluntarias tributables(2417)</t>
  </si>
  <si>
    <t>iasVoluntaria</t>
  </si>
  <si>
    <t>Movilización(2302)</t>
  </si>
  <si>
    <t>movilizacion</t>
  </si>
  <si>
    <t>Otros ingresos no constitutivos de renta(2204)</t>
  </si>
  <si>
    <t>Pago indemnización a todo evento(2331)</t>
  </si>
  <si>
    <t>indemNMi</t>
  </si>
  <si>
    <t>Sala cuna(2308)</t>
  </si>
  <si>
    <t>salaCMi</t>
  </si>
  <si>
    <t>Viáticos(2303)</t>
  </si>
  <si>
    <t>viaticoMi</t>
  </si>
  <si>
    <t>Cotización obligatoria previsional (AFP o IPS)(3141)</t>
  </si>
  <si>
    <t>afp</t>
  </si>
  <si>
    <t>Cotización obligatoria salud 7%(3143)</t>
  </si>
  <si>
    <t>isapre</t>
  </si>
  <si>
    <t>Cotización voluntaria para salud(3144)</t>
  </si>
  <si>
    <t>Cotización AFC - trabajador(3151)</t>
  </si>
  <si>
    <t>cesEmpleado</t>
  </si>
  <si>
    <t>Cotizaciones técnico extranjero para seguridad social fuera de Chile(3146)</t>
  </si>
  <si>
    <t>superAnnua</t>
  </si>
  <si>
    <t>Descuento depósito convenido hasta UF 900 anual(3147)</t>
  </si>
  <si>
    <t>apviConvenido</t>
  </si>
  <si>
    <t>Cotización APVi Mod A(3155)</t>
  </si>
  <si>
    <t>apvi</t>
  </si>
  <si>
    <t>Cotización APVi Mod B hasta UF50(3156)</t>
  </si>
  <si>
    <t>Cotización APVc Mod A(3157)</t>
  </si>
  <si>
    <t>apvc</t>
  </si>
  <si>
    <t>Cotización APVc Mod B hasta UF50(3158)</t>
  </si>
  <si>
    <t>Impuesto retenido por remuneraciones(3161)</t>
  </si>
  <si>
    <t>impuesto</t>
  </si>
  <si>
    <t>Impuesto retenido por indemnizaciones(3162)</t>
  </si>
  <si>
    <t>imptoindMi</t>
  </si>
  <si>
    <t>Mayor retención de impuestos solicitada por el trabajador(3163)</t>
  </si>
  <si>
    <t>ppm</t>
  </si>
  <si>
    <t>Impuesto retenido por reliquidación remun. devengadas otros períodos(3164)</t>
  </si>
  <si>
    <t>reliquidaImpuesto</t>
  </si>
  <si>
    <t>Diferencia impuesto reliquidación remun. devengadas en este período(3165)</t>
  </si>
  <si>
    <t>Retención préstamo clase media 2020 (Ley 21.252) (3166)</t>
  </si>
  <si>
    <t>solidarioremu</t>
  </si>
  <si>
    <t>Rebaja zona extrema DL 889 (3167)</t>
  </si>
  <si>
    <t>zonaExtrema</t>
  </si>
  <si>
    <t>Cotización adicional trabajo pesado - trabajador(3154)</t>
  </si>
  <si>
    <t>trabajoPesaEmpl</t>
  </si>
  <si>
    <t>Crédito cooperativas de ahorro(3182)</t>
  </si>
  <si>
    <t>credMi</t>
  </si>
  <si>
    <t>Crédito social CCAF(3110)</t>
  </si>
  <si>
    <t>cajaCred</t>
  </si>
  <si>
    <t>Cuota sindical 1(3171)</t>
  </si>
  <si>
    <t>CuotaSindMi</t>
  </si>
  <si>
    <t>Cuota sindical 10(3180)</t>
  </si>
  <si>
    <t>Cuota sindical 2(3172)</t>
  </si>
  <si>
    <t>Cuota sindical 3(3173)</t>
  </si>
  <si>
    <t>Cuota sindical 4(3174)</t>
  </si>
  <si>
    <t>Cuota sindical 5(3175)</t>
  </si>
  <si>
    <t>Cuota sindical 6(3176)</t>
  </si>
  <si>
    <t>Cuota sindical 7(3177)</t>
  </si>
  <si>
    <t>Cuota sindical 8(3178)</t>
  </si>
  <si>
    <t>Cuota sindical 9(3179)</t>
  </si>
  <si>
    <t>Cuota vivienda o educación(3181)</t>
  </si>
  <si>
    <t>cuotavivMi</t>
  </si>
  <si>
    <t>Descuento mujer casada(3187)</t>
  </si>
  <si>
    <t>otrosDesctoMi</t>
  </si>
  <si>
    <t>Descuentos por anticipos y préstamos(3188)</t>
  </si>
  <si>
    <t>AnticipoPrestamoMi</t>
  </si>
  <si>
    <t>Donaciones culturales y de reconstrucción(3184)</t>
  </si>
  <si>
    <t>Otros descuentos autorizados y solicitados por el trabajador(3183)</t>
  </si>
  <si>
    <t>otrdescMi</t>
  </si>
  <si>
    <t>Otros descuentos(3185)</t>
  </si>
  <si>
    <t>Pensiones de alimentos(3186)</t>
  </si>
  <si>
    <t>retencionJudicial</t>
  </si>
  <si>
    <t>Total líquido(5501)</t>
  </si>
  <si>
    <t>totalesEmpl</t>
  </si>
  <si>
    <t>AFC - Aporte empleador(4151)</t>
  </si>
  <si>
    <t>cesAporteCi</t>
  </si>
  <si>
    <t>Aporte empleador seguro accidentes del trabajo y Ley SANNA(4152)</t>
  </si>
  <si>
    <t>mutual</t>
  </si>
  <si>
    <t>Aporte adicional trabajo pesado - empleador(4154)</t>
  </si>
  <si>
    <t>trabajoPesa</t>
  </si>
  <si>
    <t>Aporte empleador seguro invalidez y sobrevivencia(4155)</t>
  </si>
  <si>
    <t>sis</t>
  </si>
  <si>
    <t>APVC - Aporte Empleador(4157)</t>
  </si>
  <si>
    <t>apvcAporte</t>
  </si>
  <si>
    <t>cod_lre</t>
  </si>
  <si>
    <t>concepto_detalle</t>
  </si>
  <si>
    <t>Aguinaldo(2110)</t>
  </si>
  <si>
    <t>AguinaldoMi</t>
  </si>
  <si>
    <t>Tipo</t>
  </si>
  <si>
    <t>Aporte Empleador</t>
  </si>
  <si>
    <t>Haber afecto</t>
  </si>
  <si>
    <t>Haber exento</t>
  </si>
  <si>
    <t>Descuento Legal</t>
  </si>
  <si>
    <t>Descuento</t>
  </si>
  <si>
    <t>licenciaDias</t>
  </si>
  <si>
    <t>Dias con Licencia Medica</t>
  </si>
  <si>
    <t>Dato</t>
  </si>
  <si>
    <t>Fecha de proceso</t>
  </si>
  <si>
    <t>Id empleado</t>
  </si>
  <si>
    <t>Número de contrato</t>
  </si>
  <si>
    <t>Id de empresa</t>
  </si>
  <si>
    <t>%afp</t>
  </si>
  <si>
    <t>Ccaf</t>
  </si>
  <si>
    <t>% Ccaf</t>
  </si>
  <si>
    <t>Mutual</t>
  </si>
  <si>
    <t>% mutual</t>
  </si>
  <si>
    <t>%Sis</t>
  </si>
  <si>
    <t>Nro días trabajados</t>
  </si>
  <si>
    <t>Nro días de licencia médica</t>
  </si>
  <si>
    <t>Recargo 30% día domingo (Art. 38) (2107)</t>
  </si>
  <si>
    <t>Remuneración variable pagada en vacaciones (Art 71) (cód 2108)</t>
  </si>
  <si>
    <t>Tratos (mensual) (cód 2112)</t>
  </si>
  <si>
    <t>Bonos u otras remuneraciones variables mensuales o superiores a un mes (cód 2113)</t>
  </si>
  <si>
    <t>Beneficios en especie constitutivos de remuneración (cód 2115)</t>
  </si>
  <si>
    <t>Otras remuneraciones superiores a un mes (cód 2123)</t>
  </si>
  <si>
    <t>Pago por horas de trabajo sindical (cód 2124)</t>
  </si>
  <si>
    <t>Beca de estudio (Art. 17 N°18 LIR) (cód 2202)</t>
  </si>
  <si>
    <t>Otros ingresos no constitutivos de renta (Art 17 N°29 LIR) (cód 2204)</t>
  </si>
  <si>
    <t>Viáticos totales mensual (Art 41) (cód 2303)</t>
  </si>
  <si>
    <t>Gastos por causa del trabajo (Art 41 CdT) y gastos de representación (Art. 42 Nº1 LIR) (cód 2306)</t>
  </si>
  <si>
    <t>Sala cuna (Art 203) (cód 2308)</t>
  </si>
  <si>
    <t>Alojamiento por razones de trabajo (2310)</t>
  </si>
  <si>
    <t>Indemnización fuero maternal (Art 163 bis) (cód 2316)</t>
  </si>
  <si>
    <t>Indemnización a todo evento (Art.164) (cód 2331)</t>
  </si>
  <si>
    <t>Indemnizaciones voluntarias tributables (cód 2417)</t>
  </si>
  <si>
    <t>Indemnizaciones contractuales tributables (cód 2418)</t>
  </si>
  <si>
    <t>Cotización adicional trabajo pesado- trabajador (cód 3154)</t>
  </si>
  <si>
    <t>Impuesto retenido por indemnizaciones (cód 3162)</t>
  </si>
  <si>
    <t>Mayor retención de impuesto solicitada por el trabajador (cód 3163)</t>
  </si>
  <si>
    <t>Impuesto retenido por reliquidación de remuneraciones devengadas en otros períodos mensuales (cód 3164)</t>
  </si>
  <si>
    <t>Cuota vivienda o educación Art. 58 (cód 3181)</t>
  </si>
  <si>
    <t>Crédito cooperativas de ahorro (Art 54 Ley Coop.) (cód 3182)</t>
  </si>
  <si>
    <t>Otros descuentos autorizados y solicitados por el trabajador (cód 3183)</t>
  </si>
  <si>
    <t>AFC - Aporte empleador solidario</t>
  </si>
  <si>
    <t>AFC - Aporte empleador individual</t>
  </si>
  <si>
    <t>Aporte adicional trabajo pesado- empleador (cód 4154)</t>
  </si>
  <si>
    <t>jornada</t>
  </si>
  <si>
    <t>cesAporteSol</t>
  </si>
  <si>
    <t>Id del concepto</t>
  </si>
  <si>
    <t>Monto del concepto</t>
  </si>
  <si>
    <t>Afecto</t>
  </si>
  <si>
    <t>Id de institución</t>
  </si>
  <si>
    <t>Cotización de jubilación</t>
  </si>
  <si>
    <t>Días de licencias</t>
  </si>
  <si>
    <t>Días trabajados</t>
  </si>
  <si>
    <t>Fecha de aplicación</t>
  </si>
  <si>
    <t>Empresa</t>
  </si>
  <si>
    <t>Total de rebajas por LLSS</t>
  </si>
  <si>
    <t>Rentas no gravadas</t>
  </si>
  <si>
    <t>Rebaja por zona extrema</t>
  </si>
  <si>
    <t>Jornada</t>
  </si>
  <si>
    <t>Días de vacaciones</t>
  </si>
  <si>
    <t>Monto Init</t>
  </si>
  <si>
    <t>Fase</t>
  </si>
  <si>
    <t>C</t>
  </si>
  <si>
    <t>%ccaf</t>
  </si>
  <si>
    <t>becaMi</t>
  </si>
  <si>
    <t>AsigTeletrabajoMi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</si>
</sst>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212529"/>
      <name val="Roboto"/>
    </font>
  </fonts>
  <fills count="5">
    <fill>
      <patternFill patternType="none"/>
    </fill>
    <fill>
      <patternFill patternType="gray125"/>
    </fill>
    <fill>
      <patternFill patternType="solid">
        <fgColor rgb="FF6492B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>
      <alignment horizontal="center" vertical="center"/>
    </xf>
  </cellStyleXfs>
  <cellXfs count="8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4" borderId="0" xfId="0" applyFill="1"/>
    <xf numFmtId="0" fontId="1" fillId="3" borderId="0" xfId="0" applyFont="1" applyFill="1" applyBorder="1"/>
    <xf numFmtId="0" fontId="0" fillId="0" borderId="0" xfId="0" applyBorder="1"/>
    <xf numFmtId="0" fontId="0" fillId="0" borderId="0" xfId="0" applyFill="1" applyBorder="1"/>
    <xf numFmtId="0" fontId="3" fillId="0" borderId="0" xfId="0" applyFont="1"/>
  </cellXfs>
  <cellStyles count="2">
    <cellStyle name="header" xfId="1" xr:uid="{A14DF8E0-F09F-4D0A-8532-589F1ABA78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3D0-2815-4A2D-9523-7F8CC520349F}">
  <dimension ref="A1:D94"/>
  <sheetViews>
    <sheetView tabSelected="1" topLeftCell="A97" workbookViewId="0">
      <selection sqref="A1:XFD1"/>
    </sheetView>
  </sheetViews>
  <sheetFormatPr baseColWidth="10" defaultRowHeight="15" x14ac:dyDescent="0.25"/>
  <cols>
    <col min="1" max="1" width="70.7109375" bestFit="1" customWidth="1"/>
    <col min="2" max="2" width="20.85546875" bestFit="1" customWidth="1"/>
    <col min="3" max="3" width="16.85546875" bestFit="1" customWidth="1"/>
    <col min="4" max="4" width="16.85546875" customWidth="1"/>
  </cols>
  <sheetData>
    <row r="1" spans="1:4" ht="15.75" x14ac:dyDescent="0.25">
      <c r="A1" s="2" t="s">
        <v>152</v>
      </c>
      <c r="B1" s="2" t="s">
        <v>153</v>
      </c>
      <c r="C1" s="2" t="s">
        <v>156</v>
      </c>
      <c r="D1" s="4"/>
    </row>
    <row r="2" spans="1:4" x14ac:dyDescent="0.25">
      <c r="A2" s="1" t="s">
        <v>79</v>
      </c>
      <c r="B2" s="1" t="s">
        <v>80</v>
      </c>
      <c r="C2" s="1" t="s">
        <v>159</v>
      </c>
      <c r="D2" s="5"/>
    </row>
    <row r="3" spans="1:4" x14ac:dyDescent="0.25">
      <c r="A3" s="1" t="s">
        <v>20</v>
      </c>
      <c r="B3" s="1" t="s">
        <v>21</v>
      </c>
      <c r="C3" s="1" t="s">
        <v>158</v>
      </c>
      <c r="D3" s="5"/>
    </row>
    <row r="4" spans="1:4" x14ac:dyDescent="0.25">
      <c r="A4" s="1" t="s">
        <v>140</v>
      </c>
      <c r="B4" s="1" t="s">
        <v>141</v>
      </c>
      <c r="C4" s="1" t="s">
        <v>161</v>
      </c>
      <c r="D4" s="5"/>
    </row>
    <row r="5" spans="1:4" x14ac:dyDescent="0.25">
      <c r="A5" s="1" t="s">
        <v>0</v>
      </c>
      <c r="B5" s="1" t="s">
        <v>1</v>
      </c>
      <c r="C5" s="1" t="s">
        <v>158</v>
      </c>
      <c r="D5" s="5"/>
    </row>
    <row r="6" spans="1:4" x14ac:dyDescent="0.25">
      <c r="A6" s="1" t="s">
        <v>38</v>
      </c>
      <c r="B6" s="1" t="s">
        <v>1</v>
      </c>
      <c r="C6" s="1" t="s">
        <v>158</v>
      </c>
      <c r="D6" s="5"/>
    </row>
    <row r="7" spans="1:4" x14ac:dyDescent="0.25">
      <c r="A7" s="1" t="s">
        <v>39</v>
      </c>
      <c r="B7" s="1" t="s">
        <v>25</v>
      </c>
      <c r="C7" s="1" t="s">
        <v>158</v>
      </c>
      <c r="D7" s="5"/>
    </row>
    <row r="8" spans="1:4" x14ac:dyDescent="0.25">
      <c r="A8" s="1" t="s">
        <v>2</v>
      </c>
      <c r="B8" s="1" t="s">
        <v>3</v>
      </c>
      <c r="C8" s="1" t="s">
        <v>158</v>
      </c>
      <c r="D8" s="5"/>
    </row>
    <row r="9" spans="1:4" x14ac:dyDescent="0.25">
      <c r="A9" s="1" t="s">
        <v>6</v>
      </c>
      <c r="B9" s="1" t="s">
        <v>7</v>
      </c>
      <c r="C9" s="1" t="s">
        <v>158</v>
      </c>
      <c r="D9" s="5"/>
    </row>
    <row r="10" spans="1:4" x14ac:dyDescent="0.25">
      <c r="A10" s="1" t="s">
        <v>77</v>
      </c>
      <c r="B10" s="1" t="s">
        <v>78</v>
      </c>
      <c r="C10" s="1" t="s">
        <v>159</v>
      </c>
      <c r="D10" s="5"/>
    </row>
    <row r="11" spans="1:4" x14ac:dyDescent="0.25">
      <c r="A11" s="1" t="s">
        <v>107</v>
      </c>
      <c r="B11" s="1" t="s">
        <v>108</v>
      </c>
      <c r="C11" s="1" t="s">
        <v>160</v>
      </c>
      <c r="D11" s="5"/>
    </row>
    <row r="12" spans="1:4" x14ac:dyDescent="0.25">
      <c r="A12" s="1" t="s">
        <v>29</v>
      </c>
      <c r="B12" s="1" t="s">
        <v>25</v>
      </c>
      <c r="C12" s="1" t="s">
        <v>158</v>
      </c>
      <c r="D12" s="5"/>
    </row>
    <row r="13" spans="1:4" x14ac:dyDescent="0.25">
      <c r="A13" s="1" t="s">
        <v>31</v>
      </c>
      <c r="B13" s="1" t="s">
        <v>25</v>
      </c>
      <c r="C13" s="1" t="s">
        <v>158</v>
      </c>
      <c r="D13" s="5"/>
    </row>
    <row r="14" spans="1:4" x14ac:dyDescent="0.25">
      <c r="A14" s="1" t="s">
        <v>30</v>
      </c>
      <c r="B14" s="1" t="s">
        <v>25</v>
      </c>
      <c r="C14" s="1" t="s">
        <v>158</v>
      </c>
      <c r="D14" s="5"/>
    </row>
    <row r="15" spans="1:4" x14ac:dyDescent="0.25">
      <c r="A15" s="1" t="s">
        <v>28</v>
      </c>
      <c r="B15" s="1" t="s">
        <v>25</v>
      </c>
      <c r="C15" s="1" t="s">
        <v>158</v>
      </c>
      <c r="D15" s="5"/>
    </row>
    <row r="16" spans="1:4" x14ac:dyDescent="0.25">
      <c r="A16" s="1" t="s">
        <v>32</v>
      </c>
      <c r="B16" s="1" t="s">
        <v>25</v>
      </c>
      <c r="C16" s="1" t="s">
        <v>158</v>
      </c>
      <c r="D16" s="5"/>
    </row>
    <row r="17" spans="1:4" x14ac:dyDescent="0.25">
      <c r="A17" s="1" t="s">
        <v>14</v>
      </c>
      <c r="B17" s="1" t="s">
        <v>15</v>
      </c>
      <c r="C17" s="1" t="s">
        <v>158</v>
      </c>
      <c r="D17" s="5"/>
    </row>
    <row r="18" spans="1:4" x14ac:dyDescent="0.25">
      <c r="A18" s="1" t="s">
        <v>16</v>
      </c>
      <c r="B18" s="1" t="s">
        <v>17</v>
      </c>
      <c r="C18" s="1" t="s">
        <v>158</v>
      </c>
      <c r="D18" s="5"/>
    </row>
    <row r="19" spans="1:4" x14ac:dyDescent="0.25">
      <c r="A19" s="1" t="s">
        <v>12</v>
      </c>
      <c r="B19" s="1" t="s">
        <v>13</v>
      </c>
      <c r="C19" s="1" t="s">
        <v>158</v>
      </c>
      <c r="D19" s="5"/>
    </row>
    <row r="20" spans="1:4" x14ac:dyDescent="0.25">
      <c r="A20" s="1" t="s">
        <v>109</v>
      </c>
      <c r="B20" s="1" t="s">
        <v>110</v>
      </c>
      <c r="C20" s="1" t="s">
        <v>160</v>
      </c>
      <c r="D20" s="5"/>
    </row>
    <row r="21" spans="1:4" x14ac:dyDescent="0.25">
      <c r="A21" s="1" t="s">
        <v>138</v>
      </c>
      <c r="B21" s="1" t="s">
        <v>139</v>
      </c>
      <c r="C21" s="1" t="s">
        <v>161</v>
      </c>
      <c r="D21" s="5"/>
    </row>
    <row r="22" spans="1:4" x14ac:dyDescent="0.25">
      <c r="A22" s="1" t="s">
        <v>8</v>
      </c>
      <c r="B22" s="1" t="s">
        <v>9</v>
      </c>
      <c r="C22" s="1" t="s">
        <v>158</v>
      </c>
      <c r="D22" s="5"/>
    </row>
    <row r="23" spans="1:4" x14ac:dyDescent="0.25">
      <c r="A23" s="1" t="s">
        <v>33</v>
      </c>
      <c r="B23" s="1" t="s">
        <v>9</v>
      </c>
      <c r="C23" s="1" t="s">
        <v>158</v>
      </c>
      <c r="D23" s="5"/>
    </row>
    <row r="24" spans="1:4" x14ac:dyDescent="0.25">
      <c r="A24" s="1" t="s">
        <v>36</v>
      </c>
      <c r="B24" s="1" t="s">
        <v>37</v>
      </c>
      <c r="C24" s="1" t="s">
        <v>158</v>
      </c>
      <c r="D24" s="5"/>
    </row>
    <row r="25" spans="1:4" x14ac:dyDescent="0.25">
      <c r="A25" s="1" t="s">
        <v>75</v>
      </c>
      <c r="B25" s="1" t="s">
        <v>76</v>
      </c>
      <c r="C25" s="1" t="s">
        <v>159</v>
      </c>
      <c r="D25" s="5"/>
    </row>
    <row r="26" spans="1:4" x14ac:dyDescent="0.25">
      <c r="A26" s="1" t="s">
        <v>74</v>
      </c>
      <c r="B26" s="1" t="s">
        <v>56</v>
      </c>
      <c r="C26" s="1" t="s">
        <v>159</v>
      </c>
      <c r="D26" s="5"/>
    </row>
    <row r="27" spans="1:4" x14ac:dyDescent="0.25">
      <c r="A27" s="1" t="s">
        <v>137</v>
      </c>
      <c r="B27" s="1" t="s">
        <v>131</v>
      </c>
      <c r="C27" s="1" t="s">
        <v>161</v>
      </c>
      <c r="D27" s="5"/>
    </row>
    <row r="28" spans="1:4" x14ac:dyDescent="0.25">
      <c r="A28" s="1" t="s">
        <v>135</v>
      </c>
      <c r="B28" s="1" t="s">
        <v>136</v>
      </c>
      <c r="C28" s="1" t="s">
        <v>161</v>
      </c>
      <c r="D28" s="5"/>
    </row>
    <row r="29" spans="1:4" x14ac:dyDescent="0.25">
      <c r="A29" s="1" t="s">
        <v>35</v>
      </c>
      <c r="B29" s="1" t="s">
        <v>17</v>
      </c>
      <c r="C29" s="1" t="s">
        <v>158</v>
      </c>
      <c r="D29" s="5"/>
    </row>
    <row r="30" spans="1:4" x14ac:dyDescent="0.25">
      <c r="A30" s="1" t="s">
        <v>72</v>
      </c>
      <c r="B30" s="1" t="s">
        <v>73</v>
      </c>
      <c r="C30" s="1" t="s">
        <v>159</v>
      </c>
      <c r="D30" s="5"/>
    </row>
    <row r="31" spans="1:4" x14ac:dyDescent="0.25">
      <c r="A31" s="1" t="s">
        <v>102</v>
      </c>
      <c r="B31" s="1" t="s">
        <v>103</v>
      </c>
      <c r="C31" s="1" t="s">
        <v>160</v>
      </c>
      <c r="D31" s="5"/>
    </row>
    <row r="32" spans="1:4" x14ac:dyDescent="0.25">
      <c r="A32" s="1" t="s">
        <v>70</v>
      </c>
      <c r="B32" s="1" t="s">
        <v>71</v>
      </c>
      <c r="C32" s="1" t="s">
        <v>159</v>
      </c>
      <c r="D32" s="5"/>
    </row>
    <row r="33" spans="1:4" x14ac:dyDescent="0.25">
      <c r="A33" s="1" t="s">
        <v>68</v>
      </c>
      <c r="B33" s="1" t="s">
        <v>69</v>
      </c>
      <c r="C33" s="1" t="s">
        <v>159</v>
      </c>
      <c r="D33" s="5"/>
    </row>
    <row r="34" spans="1:4" x14ac:dyDescent="0.25">
      <c r="A34" s="1" t="s">
        <v>66</v>
      </c>
      <c r="B34" s="1" t="s">
        <v>67</v>
      </c>
      <c r="C34" s="1" t="s">
        <v>159</v>
      </c>
      <c r="D34" s="5"/>
    </row>
    <row r="35" spans="1:4" x14ac:dyDescent="0.25">
      <c r="A35" s="1" t="s">
        <v>64</v>
      </c>
      <c r="B35" s="1" t="s">
        <v>65</v>
      </c>
      <c r="C35" s="1" t="s">
        <v>159</v>
      </c>
      <c r="D35" s="5"/>
    </row>
    <row r="36" spans="1:4" x14ac:dyDescent="0.25">
      <c r="A36" s="1" t="s">
        <v>62</v>
      </c>
      <c r="B36" s="1" t="s">
        <v>63</v>
      </c>
      <c r="C36" s="1" t="s">
        <v>159</v>
      </c>
      <c r="D36" s="5"/>
    </row>
    <row r="37" spans="1:4" x14ac:dyDescent="0.25">
      <c r="A37" s="1" t="s">
        <v>60</v>
      </c>
      <c r="B37" s="1" t="s">
        <v>61</v>
      </c>
      <c r="C37" s="1" t="s">
        <v>159</v>
      </c>
      <c r="D37" s="5"/>
    </row>
    <row r="38" spans="1:4" x14ac:dyDescent="0.25">
      <c r="A38" s="1" t="s">
        <v>98</v>
      </c>
      <c r="B38" s="1" t="s">
        <v>99</v>
      </c>
      <c r="C38" s="1" t="s">
        <v>160</v>
      </c>
      <c r="D38" s="5"/>
    </row>
    <row r="39" spans="1:4" x14ac:dyDescent="0.25">
      <c r="A39" s="1" t="s">
        <v>104</v>
      </c>
      <c r="B39" s="1" t="s">
        <v>105</v>
      </c>
      <c r="C39" s="1" t="s">
        <v>160</v>
      </c>
      <c r="D39" s="5"/>
    </row>
    <row r="40" spans="1:4" x14ac:dyDescent="0.25">
      <c r="A40" s="1" t="s">
        <v>100</v>
      </c>
      <c r="B40" s="1" t="s">
        <v>101</v>
      </c>
      <c r="C40" s="1" t="s">
        <v>160</v>
      </c>
      <c r="D40" s="5"/>
    </row>
    <row r="41" spans="1:4" x14ac:dyDescent="0.25">
      <c r="A41" s="1" t="s">
        <v>41</v>
      </c>
      <c r="B41" s="1" t="s">
        <v>11</v>
      </c>
      <c r="C41" s="1" t="s">
        <v>158</v>
      </c>
      <c r="D41" s="5"/>
    </row>
    <row r="42" spans="1:4" x14ac:dyDescent="0.25">
      <c r="A42" s="1" t="s">
        <v>10</v>
      </c>
      <c r="B42" s="1" t="s">
        <v>11</v>
      </c>
      <c r="C42" s="1" t="s">
        <v>158</v>
      </c>
      <c r="D42" s="5"/>
    </row>
    <row r="43" spans="1:4" x14ac:dyDescent="0.25">
      <c r="A43" s="1" t="s">
        <v>34</v>
      </c>
      <c r="B43" s="1" t="s">
        <v>11</v>
      </c>
      <c r="C43" s="1" t="s">
        <v>158</v>
      </c>
      <c r="D43" s="5"/>
    </row>
    <row r="44" spans="1:4" x14ac:dyDescent="0.25">
      <c r="A44" s="1" t="s">
        <v>59</v>
      </c>
      <c r="B44" s="1" t="s">
        <v>58</v>
      </c>
      <c r="C44" s="1" t="s">
        <v>159</v>
      </c>
      <c r="D44" s="5"/>
    </row>
    <row r="45" spans="1:4" x14ac:dyDescent="0.25">
      <c r="A45" s="1" t="s">
        <v>57</v>
      </c>
      <c r="B45" s="1" t="s">
        <v>58</v>
      </c>
      <c r="C45" s="1" t="s">
        <v>159</v>
      </c>
      <c r="D45" s="5"/>
    </row>
    <row r="46" spans="1:4" x14ac:dyDescent="0.25">
      <c r="A46" s="1" t="s">
        <v>24</v>
      </c>
      <c r="B46" s="1" t="s">
        <v>25</v>
      </c>
      <c r="C46" s="1" t="s">
        <v>158</v>
      </c>
      <c r="D46" s="5"/>
    </row>
    <row r="47" spans="1:4" x14ac:dyDescent="0.25">
      <c r="A47" s="1" t="s">
        <v>134</v>
      </c>
      <c r="B47" s="1" t="s">
        <v>131</v>
      </c>
      <c r="C47" s="1" t="s">
        <v>161</v>
      </c>
      <c r="D47" s="5"/>
    </row>
    <row r="48" spans="1:4" x14ac:dyDescent="0.25">
      <c r="A48" s="1" t="s">
        <v>106</v>
      </c>
      <c r="B48" s="1" t="s">
        <v>105</v>
      </c>
      <c r="C48" s="1" t="s">
        <v>160</v>
      </c>
      <c r="D48" s="5"/>
    </row>
    <row r="49" spans="1:4" x14ac:dyDescent="0.25">
      <c r="A49" s="1" t="s">
        <v>163</v>
      </c>
      <c r="B49" s="1" t="s">
        <v>162</v>
      </c>
      <c r="C49" s="1" t="s">
        <v>164</v>
      </c>
      <c r="D49" s="5"/>
    </row>
    <row r="50" spans="1:4" x14ac:dyDescent="0.25">
      <c r="A50" s="1" t="s">
        <v>132</v>
      </c>
      <c r="B50" s="1" t="s">
        <v>133</v>
      </c>
      <c r="C50" s="1" t="s">
        <v>161</v>
      </c>
      <c r="D50" s="5"/>
    </row>
    <row r="51" spans="1:4" x14ac:dyDescent="0.25">
      <c r="A51" s="1" t="s">
        <v>130</v>
      </c>
      <c r="B51" s="1" t="s">
        <v>131</v>
      </c>
      <c r="C51" s="1" t="s">
        <v>161</v>
      </c>
      <c r="D51" s="5"/>
    </row>
    <row r="52" spans="1:4" x14ac:dyDescent="0.25">
      <c r="A52" s="1" t="s">
        <v>90</v>
      </c>
      <c r="B52" s="1" t="s">
        <v>91</v>
      </c>
      <c r="C52" s="1" t="s">
        <v>160</v>
      </c>
      <c r="D52" s="5"/>
    </row>
    <row r="53" spans="1:4" x14ac:dyDescent="0.25">
      <c r="A53" s="1" t="s">
        <v>55</v>
      </c>
      <c r="B53" s="1" t="s">
        <v>56</v>
      </c>
      <c r="C53" s="1" t="s">
        <v>159</v>
      </c>
      <c r="D53" s="5"/>
    </row>
    <row r="54" spans="1:4" x14ac:dyDescent="0.25">
      <c r="A54" s="1" t="s">
        <v>128</v>
      </c>
      <c r="B54" s="1" t="s">
        <v>129</v>
      </c>
      <c r="C54" s="1" t="s">
        <v>161</v>
      </c>
      <c r="D54" s="5"/>
    </row>
    <row r="55" spans="1:4" x14ac:dyDescent="0.25">
      <c r="A55" s="1" t="s">
        <v>127</v>
      </c>
      <c r="B55" s="1" t="s">
        <v>118</v>
      </c>
      <c r="C55" s="1" t="s">
        <v>161</v>
      </c>
      <c r="D55" s="5"/>
    </row>
    <row r="56" spans="1:4" x14ac:dyDescent="0.25">
      <c r="A56" s="1" t="s">
        <v>126</v>
      </c>
      <c r="B56" s="1" t="s">
        <v>118</v>
      </c>
      <c r="C56" s="1" t="s">
        <v>161</v>
      </c>
      <c r="D56" s="5"/>
    </row>
    <row r="57" spans="1:4" x14ac:dyDescent="0.25">
      <c r="A57" s="1" t="s">
        <v>125</v>
      </c>
      <c r="B57" s="1" t="s">
        <v>118</v>
      </c>
      <c r="C57" s="1" t="s">
        <v>161</v>
      </c>
      <c r="D57" s="5"/>
    </row>
    <row r="58" spans="1:4" x14ac:dyDescent="0.25">
      <c r="A58" s="1" t="s">
        <v>124</v>
      </c>
      <c r="B58" s="1" t="s">
        <v>118</v>
      </c>
      <c r="C58" s="1" t="s">
        <v>161</v>
      </c>
      <c r="D58" s="5"/>
    </row>
    <row r="59" spans="1:4" x14ac:dyDescent="0.25">
      <c r="A59" s="1" t="s">
        <v>123</v>
      </c>
      <c r="B59" s="1" t="s">
        <v>118</v>
      </c>
      <c r="C59" s="1" t="s">
        <v>161</v>
      </c>
      <c r="D59" s="5"/>
    </row>
    <row r="60" spans="1:4" x14ac:dyDescent="0.25">
      <c r="A60" s="1" t="s">
        <v>122</v>
      </c>
      <c r="B60" s="1" t="s">
        <v>118</v>
      </c>
      <c r="C60" s="1" t="s">
        <v>161</v>
      </c>
      <c r="D60" s="5"/>
    </row>
    <row r="61" spans="1:4" x14ac:dyDescent="0.25">
      <c r="A61" s="1" t="s">
        <v>121</v>
      </c>
      <c r="B61" s="1" t="s">
        <v>118</v>
      </c>
      <c r="C61" s="1" t="s">
        <v>161</v>
      </c>
      <c r="D61" s="5"/>
    </row>
    <row r="62" spans="1:4" x14ac:dyDescent="0.25">
      <c r="A62" s="1" t="s">
        <v>120</v>
      </c>
      <c r="B62" s="1" t="s">
        <v>118</v>
      </c>
      <c r="C62" s="1" t="s">
        <v>161</v>
      </c>
      <c r="D62" s="5"/>
    </row>
    <row r="63" spans="1:4" x14ac:dyDescent="0.25">
      <c r="A63" s="1" t="s">
        <v>119</v>
      </c>
      <c r="B63" s="1" t="s">
        <v>118</v>
      </c>
      <c r="C63" s="1" t="s">
        <v>161</v>
      </c>
      <c r="D63" s="5"/>
    </row>
    <row r="64" spans="1:4" x14ac:dyDescent="0.25">
      <c r="A64" s="1" t="s">
        <v>117</v>
      </c>
      <c r="B64" s="1" t="s">
        <v>118</v>
      </c>
      <c r="C64" s="1" t="s">
        <v>161</v>
      </c>
      <c r="D64" s="5"/>
    </row>
    <row r="65" spans="1:4" x14ac:dyDescent="0.25">
      <c r="A65" s="1" t="s">
        <v>115</v>
      </c>
      <c r="B65" s="1" t="s">
        <v>116</v>
      </c>
      <c r="C65" s="1" t="s">
        <v>161</v>
      </c>
      <c r="D65" s="5"/>
    </row>
    <row r="66" spans="1:4" x14ac:dyDescent="0.25">
      <c r="A66" s="1" t="s">
        <v>113</v>
      </c>
      <c r="B66" s="1" t="s">
        <v>114</v>
      </c>
      <c r="C66" s="1" t="s">
        <v>161</v>
      </c>
      <c r="D66" s="5"/>
    </row>
    <row r="67" spans="1:4" x14ac:dyDescent="0.25">
      <c r="A67" s="1" t="s">
        <v>88</v>
      </c>
      <c r="B67" s="1" t="s">
        <v>89</v>
      </c>
      <c r="C67" s="1" t="s">
        <v>160</v>
      </c>
      <c r="D67" s="5"/>
    </row>
    <row r="68" spans="1:4" x14ac:dyDescent="0.25">
      <c r="A68" s="1" t="s">
        <v>85</v>
      </c>
      <c r="B68" s="1" t="s">
        <v>84</v>
      </c>
      <c r="C68" s="1" t="s">
        <v>160</v>
      </c>
      <c r="D68" s="5"/>
    </row>
    <row r="69" spans="1:4" x14ac:dyDescent="0.25">
      <c r="A69" s="1" t="s">
        <v>83</v>
      </c>
      <c r="B69" s="1" t="s">
        <v>84</v>
      </c>
      <c r="C69" s="1" t="s">
        <v>160</v>
      </c>
      <c r="D69" s="5"/>
    </row>
    <row r="70" spans="1:4" x14ac:dyDescent="0.25">
      <c r="A70" s="1" t="s">
        <v>81</v>
      </c>
      <c r="B70" s="1" t="s">
        <v>82</v>
      </c>
      <c r="C70" s="1" t="s">
        <v>160</v>
      </c>
      <c r="D70" s="5"/>
    </row>
    <row r="71" spans="1:4" x14ac:dyDescent="0.25">
      <c r="A71" s="1" t="s">
        <v>94</v>
      </c>
      <c r="B71" s="1" t="s">
        <v>93</v>
      </c>
      <c r="C71" s="1" t="s">
        <v>160</v>
      </c>
      <c r="D71" s="5"/>
    </row>
    <row r="72" spans="1:4" x14ac:dyDescent="0.25">
      <c r="A72" s="1" t="s">
        <v>92</v>
      </c>
      <c r="B72" s="1" t="s">
        <v>93</v>
      </c>
      <c r="C72" s="1" t="s">
        <v>160</v>
      </c>
      <c r="D72" s="5"/>
    </row>
    <row r="73" spans="1:4" x14ac:dyDescent="0.25">
      <c r="A73" s="1" t="s">
        <v>97</v>
      </c>
      <c r="B73" s="1" t="s">
        <v>96</v>
      </c>
      <c r="C73" s="1" t="s">
        <v>160</v>
      </c>
      <c r="D73" s="5"/>
    </row>
    <row r="74" spans="1:4" x14ac:dyDescent="0.25">
      <c r="A74" s="1" t="s">
        <v>95</v>
      </c>
      <c r="B74" s="1" t="s">
        <v>96</v>
      </c>
      <c r="C74" s="1" t="s">
        <v>160</v>
      </c>
      <c r="D74" s="5"/>
    </row>
    <row r="75" spans="1:4" x14ac:dyDescent="0.25">
      <c r="A75" s="1" t="s">
        <v>86</v>
      </c>
      <c r="B75" s="1" t="s">
        <v>87</v>
      </c>
      <c r="C75" s="1" t="s">
        <v>160</v>
      </c>
      <c r="D75" s="5"/>
    </row>
    <row r="76" spans="1:4" x14ac:dyDescent="0.25">
      <c r="A76" s="1" t="s">
        <v>111</v>
      </c>
      <c r="B76" s="1" t="s">
        <v>112</v>
      </c>
      <c r="C76" s="1" t="s">
        <v>160</v>
      </c>
      <c r="D76" s="5"/>
    </row>
    <row r="77" spans="1:4" x14ac:dyDescent="0.25">
      <c r="A77" s="1" t="s">
        <v>4</v>
      </c>
      <c r="B77" s="1" t="s">
        <v>5</v>
      </c>
      <c r="C77" s="1" t="s">
        <v>158</v>
      </c>
      <c r="D77" s="5"/>
    </row>
    <row r="78" spans="1:4" x14ac:dyDescent="0.25">
      <c r="A78" s="1" t="s">
        <v>53</v>
      </c>
      <c r="B78" s="1" t="s">
        <v>54</v>
      </c>
      <c r="C78" s="1" t="s">
        <v>159</v>
      </c>
      <c r="D78" s="5"/>
    </row>
    <row r="79" spans="1:4" x14ac:dyDescent="0.25">
      <c r="A79" s="1" t="s">
        <v>22</v>
      </c>
      <c r="B79" s="1" t="s">
        <v>23</v>
      </c>
      <c r="C79" s="1" t="s">
        <v>158</v>
      </c>
      <c r="D79" s="5"/>
    </row>
    <row r="80" spans="1:4" x14ac:dyDescent="0.25">
      <c r="A80" s="1" t="s">
        <v>18</v>
      </c>
      <c r="B80" s="1" t="s">
        <v>19</v>
      </c>
      <c r="C80" s="1" t="s">
        <v>158</v>
      </c>
      <c r="D80" s="5"/>
    </row>
    <row r="81" spans="1:4" x14ac:dyDescent="0.25">
      <c r="A81" s="1" t="s">
        <v>26</v>
      </c>
      <c r="B81" s="1" t="s">
        <v>27</v>
      </c>
      <c r="C81" s="1" t="s">
        <v>158</v>
      </c>
      <c r="D81" s="5"/>
    </row>
    <row r="82" spans="1:4" x14ac:dyDescent="0.25">
      <c r="A82" s="1" t="s">
        <v>40</v>
      </c>
      <c r="B82" s="1" t="s">
        <v>224</v>
      </c>
      <c r="C82" s="1" t="s">
        <v>158</v>
      </c>
      <c r="D82" s="5"/>
    </row>
    <row r="83" spans="1:4" x14ac:dyDescent="0.25">
      <c r="A83" s="1" t="s">
        <v>52</v>
      </c>
      <c r="B83" s="7" t="s">
        <v>225</v>
      </c>
      <c r="C83" s="1" t="s">
        <v>159</v>
      </c>
      <c r="D83" s="5"/>
    </row>
    <row r="84" spans="1:4" x14ac:dyDescent="0.25">
      <c r="A84" s="1" t="s">
        <v>50</v>
      </c>
      <c r="B84" s="1" t="s">
        <v>51</v>
      </c>
      <c r="C84" s="1" t="s">
        <v>159</v>
      </c>
      <c r="D84" s="5"/>
    </row>
    <row r="85" spans="1:4" x14ac:dyDescent="0.25">
      <c r="A85" s="1" t="s">
        <v>48</v>
      </c>
      <c r="B85" s="1" t="s">
        <v>49</v>
      </c>
      <c r="C85" s="1" t="s">
        <v>159</v>
      </c>
      <c r="D85" s="5"/>
    </row>
    <row r="86" spans="1:4" x14ac:dyDescent="0.25">
      <c r="A86" s="1" t="s">
        <v>46</v>
      </c>
      <c r="B86" s="1" t="s">
        <v>47</v>
      </c>
      <c r="C86" s="1" t="s">
        <v>159</v>
      </c>
      <c r="D86" s="5"/>
    </row>
    <row r="87" spans="1:4" x14ac:dyDescent="0.25">
      <c r="A87" s="1" t="s">
        <v>44</v>
      </c>
      <c r="B87" s="1" t="s">
        <v>45</v>
      </c>
      <c r="C87" s="1" t="s">
        <v>159</v>
      </c>
      <c r="D87" s="5"/>
    </row>
    <row r="88" spans="1:4" x14ac:dyDescent="0.25">
      <c r="A88" s="1" t="s">
        <v>150</v>
      </c>
      <c r="B88" s="1" t="s">
        <v>151</v>
      </c>
      <c r="C88" s="1" t="s">
        <v>157</v>
      </c>
      <c r="D88" s="5"/>
    </row>
    <row r="89" spans="1:4" x14ac:dyDescent="0.25">
      <c r="A89" s="1" t="s">
        <v>148</v>
      </c>
      <c r="B89" s="1" t="s">
        <v>149</v>
      </c>
      <c r="C89" s="1" t="s">
        <v>157</v>
      </c>
      <c r="D89" s="5"/>
    </row>
    <row r="90" spans="1:4" x14ac:dyDescent="0.25">
      <c r="A90" s="1" t="s">
        <v>144</v>
      </c>
      <c r="B90" s="1" t="s">
        <v>145</v>
      </c>
      <c r="C90" s="1" t="s">
        <v>157</v>
      </c>
      <c r="D90" s="5"/>
    </row>
    <row r="91" spans="1:4" x14ac:dyDescent="0.25">
      <c r="A91" s="1" t="s">
        <v>146</v>
      </c>
      <c r="B91" s="1" t="s">
        <v>147</v>
      </c>
      <c r="C91" s="1" t="s">
        <v>157</v>
      </c>
      <c r="D91" s="5"/>
    </row>
    <row r="92" spans="1:4" x14ac:dyDescent="0.25">
      <c r="A92" s="1" t="s">
        <v>42</v>
      </c>
      <c r="B92" s="1" t="s">
        <v>43</v>
      </c>
      <c r="C92" s="1" t="s">
        <v>159</v>
      </c>
      <c r="D92" s="5"/>
    </row>
    <row r="93" spans="1:4" x14ac:dyDescent="0.25">
      <c r="A93" s="1" t="s">
        <v>154</v>
      </c>
      <c r="B93" s="1" t="s">
        <v>155</v>
      </c>
      <c r="C93" s="1" t="s">
        <v>158</v>
      </c>
      <c r="D93" s="5"/>
    </row>
    <row r="94" spans="1:4" x14ac:dyDescent="0.25">
      <c r="A94" s="1" t="s">
        <v>142</v>
      </c>
      <c r="B94" s="1" t="s">
        <v>143</v>
      </c>
      <c r="C94" s="1" t="s">
        <v>157</v>
      </c>
      <c r="D94" s="5"/>
    </row>
  </sheetData>
  <sortState xmlns:xlrd2="http://schemas.microsoft.com/office/spreadsheetml/2017/richdata2" ref="A2:A94">
    <sortCondition ref="A2:A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6685-0E0C-4D6B-8AF9-E62528ED3BF8}">
  <dimension ref="B1:L79"/>
  <sheetViews>
    <sheetView topLeftCell="A58" workbookViewId="0">
      <selection activeCell="B15" sqref="B15:C78"/>
    </sheetView>
  </sheetViews>
  <sheetFormatPr baseColWidth="10" defaultRowHeight="15" x14ac:dyDescent="0.25"/>
  <cols>
    <col min="2" max="2" width="99.140625" bestFit="1" customWidth="1"/>
    <col min="3" max="3" width="20.85546875" bestFit="1" customWidth="1"/>
    <col min="6" max="6" width="23" bestFit="1" customWidth="1"/>
    <col min="7" max="7" width="18.7109375" bestFit="1" customWidth="1"/>
  </cols>
  <sheetData>
    <row r="1" spans="2:12" x14ac:dyDescent="0.25">
      <c r="F1" t="s">
        <v>165</v>
      </c>
      <c r="G1" t="s">
        <v>165</v>
      </c>
    </row>
    <row r="2" spans="2:12" x14ac:dyDescent="0.25">
      <c r="B2" t="s">
        <v>165</v>
      </c>
      <c r="F2" t="s">
        <v>166</v>
      </c>
      <c r="G2" t="s">
        <v>166</v>
      </c>
    </row>
    <row r="3" spans="2:12" x14ac:dyDescent="0.25">
      <c r="B3" t="s">
        <v>166</v>
      </c>
      <c r="F3" t="s">
        <v>167</v>
      </c>
      <c r="G3" t="s">
        <v>167</v>
      </c>
    </row>
    <row r="4" spans="2:12" x14ac:dyDescent="0.25">
      <c r="B4" t="s">
        <v>167</v>
      </c>
      <c r="F4" t="s">
        <v>206</v>
      </c>
    </row>
    <row r="5" spans="2:12" x14ac:dyDescent="0.25">
      <c r="B5" t="s">
        <v>168</v>
      </c>
      <c r="F5" t="s">
        <v>207</v>
      </c>
    </row>
    <row r="6" spans="2:12" x14ac:dyDescent="0.25">
      <c r="B6" t="s">
        <v>82</v>
      </c>
      <c r="F6" t="s">
        <v>208</v>
      </c>
    </row>
    <row r="7" spans="2:12" x14ac:dyDescent="0.25">
      <c r="B7" t="s">
        <v>169</v>
      </c>
      <c r="F7" t="s">
        <v>209</v>
      </c>
      <c r="G7" t="s">
        <v>82</v>
      </c>
      <c r="H7" t="s">
        <v>84</v>
      </c>
      <c r="I7" t="s">
        <v>145</v>
      </c>
      <c r="J7" t="s">
        <v>170</v>
      </c>
    </row>
    <row r="8" spans="2:12" x14ac:dyDescent="0.25">
      <c r="B8" t="s">
        <v>84</v>
      </c>
      <c r="F8" t="s">
        <v>210</v>
      </c>
      <c r="G8" t="s">
        <v>169</v>
      </c>
      <c r="H8" t="s">
        <v>173</v>
      </c>
      <c r="I8" t="s">
        <v>174</v>
      </c>
      <c r="J8" t="s">
        <v>173</v>
      </c>
      <c r="K8">
        <v>0.6</v>
      </c>
      <c r="L8" t="s">
        <v>223</v>
      </c>
    </row>
    <row r="9" spans="2:12" x14ac:dyDescent="0.25">
      <c r="B9" t="s">
        <v>170</v>
      </c>
      <c r="F9" t="s">
        <v>211</v>
      </c>
      <c r="G9" t="s">
        <v>176</v>
      </c>
    </row>
    <row r="10" spans="2:12" x14ac:dyDescent="0.25">
      <c r="B10" t="s">
        <v>171</v>
      </c>
      <c r="F10" t="s">
        <v>212</v>
      </c>
      <c r="G10" t="s">
        <v>175</v>
      </c>
    </row>
    <row r="11" spans="2:12" x14ac:dyDescent="0.25">
      <c r="B11" t="s">
        <v>172</v>
      </c>
      <c r="F11" t="s">
        <v>213</v>
      </c>
    </row>
    <row r="12" spans="2:12" x14ac:dyDescent="0.25">
      <c r="B12" t="s">
        <v>173</v>
      </c>
      <c r="F12" t="s">
        <v>214</v>
      </c>
      <c r="G12" t="s">
        <v>168</v>
      </c>
    </row>
    <row r="13" spans="2:12" x14ac:dyDescent="0.25">
      <c r="B13" t="s">
        <v>174</v>
      </c>
      <c r="F13" t="s">
        <v>215</v>
      </c>
    </row>
    <row r="14" spans="2:12" x14ac:dyDescent="0.25">
      <c r="B14" s="3" t="s">
        <v>175</v>
      </c>
      <c r="F14" t="s">
        <v>216</v>
      </c>
    </row>
    <row r="15" spans="2:12" x14ac:dyDescent="0.25">
      <c r="B15" s="6" t="s">
        <v>176</v>
      </c>
      <c r="C15" t="s">
        <v>162</v>
      </c>
      <c r="F15" t="s">
        <v>217</v>
      </c>
    </row>
    <row r="16" spans="2:12" x14ac:dyDescent="0.25">
      <c r="B16" s="3" t="s">
        <v>0</v>
      </c>
      <c r="C16" t="str">
        <f>VLOOKUP(B16,Hoja1!A:B,2,0)</f>
        <v>sueldoBase</v>
      </c>
      <c r="F16" t="s">
        <v>218</v>
      </c>
    </row>
    <row r="17" spans="2:6" x14ac:dyDescent="0.25">
      <c r="B17" s="3" t="s">
        <v>2</v>
      </c>
      <c r="C17" t="str">
        <f>VLOOKUP(B17,Hoja1!A:B,2,0)</f>
        <v>sobresueldoMi</v>
      </c>
      <c r="F17" t="s">
        <v>219</v>
      </c>
    </row>
    <row r="18" spans="2:6" x14ac:dyDescent="0.25">
      <c r="B18" s="3" t="s">
        <v>4</v>
      </c>
      <c r="C18" t="str">
        <f>VLOOKUP(B18,Hoja1!A:B,2,0)</f>
        <v>comisionMi</v>
      </c>
      <c r="F18" t="s">
        <v>220</v>
      </c>
    </row>
    <row r="19" spans="2:6" x14ac:dyDescent="0.25">
      <c r="B19" s="3" t="s">
        <v>6</v>
      </c>
      <c r="C19" t="str">
        <f>VLOOKUP(B19,Hoja1!A:B,2,0)</f>
        <v>semanaCorr</v>
      </c>
      <c r="F19" t="s">
        <v>221</v>
      </c>
    </row>
    <row r="20" spans="2:6" x14ac:dyDescent="0.25">
      <c r="B20" s="3" t="s">
        <v>8</v>
      </c>
      <c r="C20" t="str">
        <f>VLOOKUP(B20,Hoja1!A:B,2,0)</f>
        <v>participacionMi</v>
      </c>
    </row>
    <row r="21" spans="2:6" x14ac:dyDescent="0.25">
      <c r="B21" s="3" t="s">
        <v>10</v>
      </c>
      <c r="C21" t="str">
        <f>VLOOKUP(B21,Hoja1!A:B,2,0)</f>
        <v>gratificacion</v>
      </c>
    </row>
    <row r="22" spans="2:6" x14ac:dyDescent="0.25">
      <c r="B22" s="3" t="s">
        <v>177</v>
      </c>
      <c r="C22" t="s">
        <v>13</v>
      </c>
    </row>
    <row r="23" spans="2:6" x14ac:dyDescent="0.25">
      <c r="B23" s="3" t="s">
        <v>178</v>
      </c>
      <c r="C23" t="s">
        <v>15</v>
      </c>
    </row>
    <row r="24" spans="2:6" x14ac:dyDescent="0.25">
      <c r="B24" s="3" t="s">
        <v>154</v>
      </c>
      <c r="C24" t="str">
        <f>VLOOKUP(B24,Hoja1!A:B,2,0)</f>
        <v>AguinaldoMi</v>
      </c>
    </row>
    <row r="25" spans="2:6" x14ac:dyDescent="0.25">
      <c r="B25" s="3" t="s">
        <v>18</v>
      </c>
      <c r="C25" t="str">
        <f>VLOOKUP(B25,Hoja1!A:B,2,0)</f>
        <v>BonoMi</v>
      </c>
    </row>
    <row r="26" spans="2:6" x14ac:dyDescent="0.25">
      <c r="B26" s="3" t="s">
        <v>179</v>
      </c>
      <c r="C26" t="s">
        <v>21</v>
      </c>
    </row>
    <row r="27" spans="2:6" x14ac:dyDescent="0.25">
      <c r="B27" s="3" t="s">
        <v>180</v>
      </c>
      <c r="C27" t="s">
        <v>23</v>
      </c>
    </row>
    <row r="28" spans="2:6" x14ac:dyDescent="0.25">
      <c r="B28" s="3" t="s">
        <v>181</v>
      </c>
      <c r="C28" t="s">
        <v>27</v>
      </c>
    </row>
    <row r="29" spans="2:6" x14ac:dyDescent="0.25">
      <c r="B29" s="3" t="s">
        <v>182</v>
      </c>
      <c r="C29" t="s">
        <v>17</v>
      </c>
    </row>
    <row r="30" spans="2:6" x14ac:dyDescent="0.25">
      <c r="B30" s="3" t="s">
        <v>183</v>
      </c>
      <c r="C30" t="s">
        <v>37</v>
      </c>
    </row>
    <row r="31" spans="2:6" x14ac:dyDescent="0.25">
      <c r="B31" s="3" t="s">
        <v>39</v>
      </c>
      <c r="C31" t="str">
        <f>VLOOKUP(B31,Hoja1!A:B,2,0)</f>
        <v>otrosHaberes</v>
      </c>
    </row>
    <row r="32" spans="2:6" x14ac:dyDescent="0.25">
      <c r="B32" s="3" t="s">
        <v>184</v>
      </c>
      <c r="C32" t="s">
        <v>25</v>
      </c>
    </row>
    <row r="33" spans="2:3" x14ac:dyDescent="0.25">
      <c r="B33" s="3" t="s">
        <v>185</v>
      </c>
      <c r="C33" t="s">
        <v>56</v>
      </c>
    </row>
    <row r="34" spans="2:3" x14ac:dyDescent="0.25">
      <c r="B34" s="3" t="s">
        <v>53</v>
      </c>
      <c r="C34" t="str">
        <f>VLOOKUP(B34,Hoja1!A:B,2,0)</f>
        <v>colacion</v>
      </c>
    </row>
    <row r="35" spans="2:3" x14ac:dyDescent="0.25">
      <c r="B35" s="3" t="s">
        <v>72</v>
      </c>
      <c r="C35" t="str">
        <f>VLOOKUP(B35,Hoja1!A:B,2,0)</f>
        <v>movilizacion</v>
      </c>
    </row>
    <row r="36" spans="2:3" x14ac:dyDescent="0.25">
      <c r="B36" s="3" t="s">
        <v>186</v>
      </c>
      <c r="C36" t="s">
        <v>58</v>
      </c>
    </row>
    <row r="37" spans="2:3" x14ac:dyDescent="0.25">
      <c r="B37" s="3" t="s">
        <v>46</v>
      </c>
      <c r="C37" t="str">
        <f>VLOOKUP(B37,Hoja1!A:B,2,0)</f>
        <v>asigPerdCajaMi</v>
      </c>
    </row>
    <row r="38" spans="2:3" x14ac:dyDescent="0.25">
      <c r="B38" s="3" t="s">
        <v>44</v>
      </c>
      <c r="C38" t="str">
        <f>VLOOKUP(B38,Hoja1!A:B,2,0)</f>
        <v>AsigDesgHerrMi</v>
      </c>
    </row>
    <row r="39" spans="2:3" x14ac:dyDescent="0.25">
      <c r="B39" s="3" t="s">
        <v>187</v>
      </c>
      <c r="C39" t="s">
        <v>78</v>
      </c>
    </row>
    <row r="40" spans="2:3" x14ac:dyDescent="0.25">
      <c r="B40" s="3" t="s">
        <v>188</v>
      </c>
      <c r="C40" s="1" t="s">
        <v>78</v>
      </c>
    </row>
    <row r="41" spans="2:3" x14ac:dyDescent="0.25">
      <c r="B41" s="3" t="s">
        <v>50</v>
      </c>
      <c r="C41" t="str">
        <f>VLOOKUP(B41,Hoja1!A:B,2,0)</f>
        <v>cargasSimp</v>
      </c>
    </row>
    <row r="42" spans="2:3" x14ac:dyDescent="0.25">
      <c r="B42" s="3" t="s">
        <v>52</v>
      </c>
      <c r="C42" t="str">
        <f>VLOOKUP(B42,Hoja1!A:B,2,0)</f>
        <v>AsigTeletrabajoMi</v>
      </c>
    </row>
    <row r="43" spans="2:3" x14ac:dyDescent="0.25">
      <c r="B43" s="3" t="s">
        <v>189</v>
      </c>
      <c r="C43" t="s">
        <v>43</v>
      </c>
    </row>
    <row r="44" spans="2:3" x14ac:dyDescent="0.25">
      <c r="B44" s="3" t="s">
        <v>48</v>
      </c>
      <c r="C44" t="str">
        <f>VLOOKUP(B44,Hoja1!A:B,2,0)</f>
        <v>TraslacionMi</v>
      </c>
    </row>
    <row r="45" spans="2:3" x14ac:dyDescent="0.25">
      <c r="B45" s="3" t="s">
        <v>64</v>
      </c>
      <c r="C45" t="str">
        <f>VLOOKUP(B45,Hoja1!A:B,2,0)</f>
        <v>iasVacaciones</v>
      </c>
    </row>
    <row r="46" spans="2:3" x14ac:dyDescent="0.25">
      <c r="B46" s="3" t="s">
        <v>60</v>
      </c>
      <c r="C46" t="str">
        <f>VLOOKUP(B46,Hoja1!A:B,2,0)</f>
        <v>iasLegal</v>
      </c>
    </row>
    <row r="47" spans="2:3" x14ac:dyDescent="0.25">
      <c r="B47" s="3" t="s">
        <v>66</v>
      </c>
      <c r="C47" t="str">
        <f>VLOOKUP(B47,Hoja1!A:B,2,0)</f>
        <v>iasMes</v>
      </c>
    </row>
    <row r="48" spans="2:3" x14ac:dyDescent="0.25">
      <c r="B48" s="3" t="s">
        <v>190</v>
      </c>
      <c r="C48" t="s">
        <v>63</v>
      </c>
    </row>
    <row r="49" spans="2:3" x14ac:dyDescent="0.25">
      <c r="B49" s="3" t="s">
        <v>191</v>
      </c>
      <c r="C49" s="1" t="s">
        <v>76</v>
      </c>
    </row>
    <row r="50" spans="2:3" x14ac:dyDescent="0.25">
      <c r="B50" s="3" t="s">
        <v>192</v>
      </c>
      <c r="C50" t="s">
        <v>71</v>
      </c>
    </row>
    <row r="51" spans="2:3" x14ac:dyDescent="0.25">
      <c r="B51" s="3" t="s">
        <v>193</v>
      </c>
      <c r="C51" s="1" t="s">
        <v>69</v>
      </c>
    </row>
    <row r="52" spans="2:3" x14ac:dyDescent="0.25">
      <c r="B52" s="3" t="s">
        <v>81</v>
      </c>
      <c r="C52" t="str">
        <f>VLOOKUP(B52,Hoja1!A:B,2,0)</f>
        <v>afp</v>
      </c>
    </row>
    <row r="53" spans="2:3" x14ac:dyDescent="0.25">
      <c r="B53" s="3" t="s">
        <v>83</v>
      </c>
      <c r="C53" t="str">
        <f>VLOOKUP(B53,Hoja1!A:B,2,0)</f>
        <v>isapre</v>
      </c>
    </row>
    <row r="54" spans="2:3" x14ac:dyDescent="0.25">
      <c r="B54" s="3" t="s">
        <v>85</v>
      </c>
      <c r="C54" t="str">
        <f>VLOOKUP(B54,Hoja1!A:B,2,0)</f>
        <v>isapre</v>
      </c>
    </row>
    <row r="55" spans="2:3" x14ac:dyDescent="0.25">
      <c r="B55" s="3" t="s">
        <v>86</v>
      </c>
      <c r="C55" t="str">
        <f>VLOOKUP(B55,Hoja1!A:B,2,0)</f>
        <v>cesEmpleado</v>
      </c>
    </row>
    <row r="56" spans="2:3" x14ac:dyDescent="0.25">
      <c r="B56" s="3" t="s">
        <v>194</v>
      </c>
      <c r="C56" s="1" t="s">
        <v>112</v>
      </c>
    </row>
    <row r="57" spans="2:3" x14ac:dyDescent="0.25">
      <c r="B57" s="3" t="s">
        <v>92</v>
      </c>
      <c r="C57" t="str">
        <f>VLOOKUP(B57,Hoja1!A:B,2,0)</f>
        <v>apvi</v>
      </c>
    </row>
    <row r="58" spans="2:3" x14ac:dyDescent="0.25">
      <c r="B58" s="3" t="s">
        <v>94</v>
      </c>
      <c r="C58" t="str">
        <f>VLOOKUP(B58,Hoja1!A:B,2,0)</f>
        <v>apvi</v>
      </c>
    </row>
    <row r="59" spans="2:3" x14ac:dyDescent="0.25">
      <c r="B59" s="3" t="s">
        <v>98</v>
      </c>
      <c r="C59" t="str">
        <f>VLOOKUP(B59,Hoja1!A:B,2,0)</f>
        <v>impuesto</v>
      </c>
    </row>
    <row r="60" spans="2:3" x14ac:dyDescent="0.25">
      <c r="B60" s="3" t="s">
        <v>195</v>
      </c>
      <c r="C60" s="1" t="s">
        <v>101</v>
      </c>
    </row>
    <row r="61" spans="2:3" x14ac:dyDescent="0.25">
      <c r="B61" s="3" t="s">
        <v>196</v>
      </c>
      <c r="C61" s="1" t="s">
        <v>103</v>
      </c>
    </row>
    <row r="62" spans="2:3" x14ac:dyDescent="0.25">
      <c r="B62" s="3" t="s">
        <v>197</v>
      </c>
      <c r="C62" s="1" t="s">
        <v>105</v>
      </c>
    </row>
    <row r="63" spans="2:3" x14ac:dyDescent="0.25">
      <c r="B63" s="3" t="s">
        <v>107</v>
      </c>
      <c r="C63" t="str">
        <f>VLOOKUP(B63,Hoja1!A:B,2,0)</f>
        <v>solidarioremu</v>
      </c>
    </row>
    <row r="64" spans="2:3" x14ac:dyDescent="0.25">
      <c r="B64" s="3" t="s">
        <v>117</v>
      </c>
      <c r="C64" t="str">
        <f>VLOOKUP(B64,Hoja1!A:B,2,0)</f>
        <v>CuotaSindMi</v>
      </c>
    </row>
    <row r="65" spans="2:3" x14ac:dyDescent="0.25">
      <c r="B65" s="3" t="s">
        <v>115</v>
      </c>
      <c r="C65" t="str">
        <f>VLOOKUP(B65,Hoja1!A:B,2,0)</f>
        <v>cajaCred</v>
      </c>
    </row>
    <row r="66" spans="2:3" x14ac:dyDescent="0.25">
      <c r="B66" s="3" t="s">
        <v>198</v>
      </c>
      <c r="C66" s="1" t="s">
        <v>129</v>
      </c>
    </row>
    <row r="67" spans="2:3" x14ac:dyDescent="0.25">
      <c r="B67" s="3" t="s">
        <v>199</v>
      </c>
      <c r="C67" s="1" t="s">
        <v>114</v>
      </c>
    </row>
    <row r="68" spans="2:3" x14ac:dyDescent="0.25">
      <c r="B68" s="3" t="s">
        <v>200</v>
      </c>
      <c r="C68" s="1" t="s">
        <v>136</v>
      </c>
    </row>
    <row r="69" spans="2:3" x14ac:dyDescent="0.25">
      <c r="B69" s="3" t="s">
        <v>137</v>
      </c>
      <c r="C69" t="str">
        <f>VLOOKUP(B69,Hoja1!A:B,2,0)</f>
        <v>otrosDesctoMi</v>
      </c>
    </row>
    <row r="70" spans="2:3" x14ac:dyDescent="0.25">
      <c r="B70" s="3" t="s">
        <v>138</v>
      </c>
      <c r="C70" t="str">
        <f>VLOOKUP(B70,Hoja1!A:B,2,0)</f>
        <v>retencionJudicial</v>
      </c>
    </row>
    <row r="71" spans="2:3" x14ac:dyDescent="0.25">
      <c r="B71" s="3" t="s">
        <v>132</v>
      </c>
      <c r="C71" t="str">
        <f>VLOOKUP(B71,Hoja1!A:B,2,0)</f>
        <v>AnticipoPrestamoMi</v>
      </c>
    </row>
    <row r="72" spans="2:3" x14ac:dyDescent="0.25">
      <c r="B72" s="3" t="s">
        <v>201</v>
      </c>
      <c r="C72" s="1" t="s">
        <v>205</v>
      </c>
    </row>
    <row r="73" spans="2:3" x14ac:dyDescent="0.25">
      <c r="B73" s="3" t="s">
        <v>202</v>
      </c>
      <c r="C73" s="1" t="s">
        <v>143</v>
      </c>
    </row>
    <row r="74" spans="2:3" x14ac:dyDescent="0.25">
      <c r="B74" s="3" t="s">
        <v>144</v>
      </c>
      <c r="C74" t="str">
        <f>VLOOKUP(B74,Hoja1!A:B,2,0)</f>
        <v>mutual</v>
      </c>
    </row>
    <row r="75" spans="2:3" x14ac:dyDescent="0.25">
      <c r="B75" s="3" t="s">
        <v>203</v>
      </c>
      <c r="C75" s="1" t="s">
        <v>147</v>
      </c>
    </row>
    <row r="76" spans="2:3" x14ac:dyDescent="0.25">
      <c r="B76" s="3" t="s">
        <v>109</v>
      </c>
      <c r="C76" t="str">
        <f>VLOOKUP(B76,Hoja1!A:B,2,0)</f>
        <v>zonaExtrema</v>
      </c>
    </row>
    <row r="77" spans="2:3" x14ac:dyDescent="0.25">
      <c r="B77" s="3" t="s">
        <v>148</v>
      </c>
      <c r="C77" t="str">
        <f>VLOOKUP(B77,Hoja1!A:B,2,0)</f>
        <v>sis</v>
      </c>
    </row>
    <row r="78" spans="2:3" x14ac:dyDescent="0.25">
      <c r="B78" t="s">
        <v>140</v>
      </c>
      <c r="C78" t="str">
        <f>VLOOKUP(B78,Hoja1!A:B,2,0)</f>
        <v>totalesEmpl</v>
      </c>
    </row>
    <row r="79" spans="2:3" x14ac:dyDescent="0.25">
      <c r="B79" t="s">
        <v>204</v>
      </c>
      <c r="C7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2026-06-04T15:44:17Z</dcterms:created>
  <dcterms:modified xsi:type="dcterms:W3CDTF">2026-06-23T02:24:20Z</dcterms:modified>
</cp:coreProperties>
</file>